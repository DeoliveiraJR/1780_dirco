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365-my.sharepoint.com/personal/oliveira_jr_bb_com_br/Documents/Área de Trabalho/"/>
    </mc:Choice>
  </mc:AlternateContent>
  <xr:revisionPtr revIDLastSave="523" documentId="8_{CE51F85F-9627-478C-95F0-D5CCFB574119}" xr6:coauthVersionLast="47" xr6:coauthVersionMax="47" xr10:uidLastSave="{146E16CC-D41B-496E-B59E-BBB27AFCA3DC}"/>
  <bookViews>
    <workbookView xWindow="28680" yWindow="-120" windowWidth="29040" windowHeight="15720" xr2:uid="{86DED218-927B-4621-ACF4-D68E1D52BAA7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D17" i="1"/>
  <c r="D7" i="1"/>
  <c r="D6" i="1"/>
  <c r="D16" i="1"/>
  <c r="D15" i="1"/>
  <c r="D14" i="1"/>
  <c r="D13" i="1"/>
  <c r="D12" i="1"/>
  <c r="D11" i="1"/>
  <c r="D10" i="1"/>
  <c r="D9" i="1"/>
  <c r="D8" i="1"/>
  <c r="B3" i="1"/>
  <c r="B7" i="1" l="1"/>
  <c r="B8" i="1" s="1"/>
  <c r="D3" i="1" l="1"/>
  <c r="C3" i="1" s="1"/>
  <c r="B9" i="1"/>
  <c r="F12" i="1" l="1"/>
  <c r="G12" i="1"/>
  <c r="F11" i="1"/>
  <c r="G11" i="1"/>
  <c r="F10" i="1"/>
  <c r="G10" i="1"/>
  <c r="F9" i="1"/>
  <c r="G9" i="1"/>
  <c r="F8" i="1"/>
  <c r="G8" i="1"/>
  <c r="F7" i="1"/>
  <c r="G7" i="1"/>
  <c r="F6" i="1"/>
  <c r="G6" i="1"/>
  <c r="F16" i="1"/>
  <c r="F15" i="1"/>
  <c r="F14" i="1"/>
  <c r="F13" i="1"/>
  <c r="B10" i="1"/>
  <c r="B11" i="1" l="1"/>
  <c r="B12" i="1" l="1"/>
  <c r="B13" i="1" l="1"/>
  <c r="B14" i="1" l="1"/>
  <c r="B15" i="1" l="1"/>
  <c r="B16" i="1" l="1"/>
  <c r="B17" i="1" l="1"/>
  <c r="F17" i="1" l="1"/>
  <c r="G17" i="1"/>
  <c r="G13" i="1"/>
  <c r="G14" i="1"/>
  <c r="G15" i="1"/>
  <c r="G16" i="1"/>
</calcChain>
</file>

<file path=xl/sharedStrings.xml><?xml version="1.0" encoding="utf-8"?>
<sst xmlns="http://schemas.openxmlformats.org/spreadsheetml/2006/main" count="23" uniqueCount="22">
  <si>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</si>
  <si>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</si>
  <si>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</si>
  <si>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</si>
  <si>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</si>
  <si>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</si>
  <si>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</si>
  <si>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</si>
  <si>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</si>
  <si>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</si>
  <si>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</si>
  <si>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</si>
  <si>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BETA</t>
  </si>
  <si>
    <t>COEF</t>
  </si>
  <si>
    <t>DIF</t>
  </si>
  <si>
    <t>MULT</t>
  </si>
  <si>
    <t>MÊS-NOME</t>
  </si>
  <si>
    <r>
      <t xml:space="preserve">MÊS </t>
    </r>
    <r>
      <rPr>
        <sz val="11"/>
        <color theme="2"/>
        <rFont val="Aptos Narrow"/>
        <family val="2"/>
        <scheme val="minor"/>
      </rPr>
      <t>(n)</t>
    </r>
  </si>
  <si>
    <t>INCLINAÇÃO</t>
  </si>
  <si>
    <t>AJUSTADA</t>
  </si>
  <si>
    <t>AJUSTADA_ALT</t>
  </si>
  <si>
    <t>AJUSTADA_MULT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</si>
</sst>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3" tint="0.499984740745262"/>
      </left>
      <right style="thin">
        <color theme="4"/>
      </right>
      <top style="medium">
        <color theme="3" tint="0.499984740745262"/>
      </top>
      <bottom style="hair">
        <color auto="1"/>
      </bottom>
      <diagonal/>
    </border>
    <border>
      <left style="thin">
        <color theme="4"/>
      </left>
      <right style="thin">
        <color theme="4"/>
      </right>
      <top style="medium">
        <color theme="3" tint="0.499984740745262"/>
      </top>
      <bottom style="hair">
        <color auto="1"/>
      </bottom>
      <diagonal/>
    </border>
    <border>
      <left style="thin">
        <color theme="4"/>
      </left>
      <right style="medium">
        <color theme="3" tint="0.499984740745262"/>
      </right>
      <top style="medium">
        <color theme="3" tint="0.499984740745262"/>
      </top>
      <bottom style="hair">
        <color auto="1"/>
      </bottom>
      <diagonal/>
    </border>
    <border>
      <left style="medium">
        <color theme="3" tint="0.499984740745262"/>
      </left>
      <right style="hair">
        <color auto="1"/>
      </right>
      <top style="hair">
        <color auto="1"/>
      </top>
      <bottom style="medium">
        <color theme="3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theme="3" tint="0.499984740745262"/>
      </bottom>
      <diagonal/>
    </border>
    <border>
      <left style="hair">
        <color auto="1"/>
      </left>
      <right style="medium">
        <color theme="3" tint="0.499984740745262"/>
      </right>
      <top style="hair">
        <color auto="1"/>
      </top>
      <bottom style="medium">
        <color theme="3" tint="0.499984740745262"/>
      </bottom>
      <diagonal/>
    </border>
    <border>
      <left/>
      <right style="hair">
        <color theme="2"/>
      </right>
      <top/>
      <bottom style="hair">
        <color theme="0" tint="-0.24994659260841701"/>
      </bottom>
      <diagonal/>
    </border>
    <border>
      <left style="hair">
        <color theme="2"/>
      </left>
      <right style="hair">
        <color theme="2"/>
      </right>
      <top/>
      <bottom style="hair">
        <color theme="0" tint="-0.24994659260841701"/>
      </bottom>
      <diagonal/>
    </border>
    <border>
      <left style="hair">
        <color theme="2"/>
      </left>
      <right/>
      <top/>
      <bottom style="hair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indent="1"/>
    </xf>
    <xf numFmtId="2" fontId="0" fillId="2" borderId="5" xfId="0" applyNumberFormat="1" applyFill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4" fillId="0" borderId="0" xfId="0" applyFont="1" applyAlignment="1">
      <alignment horizontal="left" indent="1"/>
    </xf>
    <xf numFmtId="1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2" fontId="0" fillId="0" borderId="0" xfId="0" applyNumberFormat="1"/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Planilha1!$C$5</c:f>
              <c:strCache>
                <c:ptCount val="1"/>
                <c:pt idx="0">
                  <c:v>AJUSTADA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Planilha1!$A$6:$B$17</c15:sqref>
                  </c15:fullRef>
                  <c15:levelRef>
                    <c15:sqref>Planilha1!$A$6:$A$17</c15:sqref>
                  </c15:levelRef>
                </c:ext>
              </c:extLst>
              <c:f>Planilha1!$A$6:$A$17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Planilha1!$C$6:$C$17</c:f>
              <c:numCache>
                <c:formatCode>0.00</c:formatCode>
                <c:ptCount val="12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32</c:v>
                </c:pt>
                <c:pt idx="4">
                  <c:v>37</c:v>
                </c:pt>
                <c:pt idx="5">
                  <c:v>42</c:v>
                </c:pt>
                <c:pt idx="6">
                  <c:v>47</c:v>
                </c:pt>
                <c:pt idx="7">
                  <c:v>52</c:v>
                </c:pt>
                <c:pt idx="8">
                  <c:v>57</c:v>
                </c:pt>
                <c:pt idx="9">
                  <c:v>62</c:v>
                </c:pt>
                <c:pt idx="10">
                  <c:v>67</c:v>
                </c:pt>
                <c:pt idx="1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4-41CC-993C-85C56A114027}"/>
            </c:ext>
          </c:extLst>
        </c:ser>
        <c:ser>
          <c:idx val="1"/>
          <c:order val="1"/>
          <c:tx>
            <c:strRef>
              <c:f>Planilha1!$D$5</c:f>
              <c:strCache>
                <c:ptCount val="1"/>
                <c:pt idx="0">
                  <c:v>AJUSTADA_ALT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Planilha1!$A$6:$B$17</c15:sqref>
                  </c15:fullRef>
                  <c15:levelRef>
                    <c15:sqref>Planilha1!$A$6:$A$17</c15:sqref>
                  </c15:levelRef>
                </c:ext>
              </c:extLst>
              <c:f>Planilha1!$A$6:$A$17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Planilha1!$D$6:$D$17</c:f>
              <c:numCache>
                <c:formatCode>0</c:formatCode>
                <c:ptCount val="12"/>
                <c:pt idx="0">
                  <c:v>10</c:v>
                </c:pt>
                <c:pt idx="1">
                  <c:v>15.636363636363637</c:v>
                </c:pt>
                <c:pt idx="2">
                  <c:v>21.272727272727273</c:v>
                </c:pt>
                <c:pt idx="3">
                  <c:v>26.90909090909091</c:v>
                </c:pt>
                <c:pt idx="4">
                  <c:v>32.545454545454547</c:v>
                </c:pt>
                <c:pt idx="5">
                  <c:v>38.181818181818187</c:v>
                </c:pt>
                <c:pt idx="6">
                  <c:v>43.818181818181813</c:v>
                </c:pt>
                <c:pt idx="7">
                  <c:v>49.454545454545453</c:v>
                </c:pt>
                <c:pt idx="8">
                  <c:v>55.090909090909093</c:v>
                </c:pt>
                <c:pt idx="9">
                  <c:v>60.727272727272734</c:v>
                </c:pt>
                <c:pt idx="10">
                  <c:v>66.36363636363636</c:v>
                </c:pt>
                <c:pt idx="1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44-41CC-993C-85C56A114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8654304"/>
        <c:axId val="1618653344"/>
      </c:lineChart>
      <c:catAx>
        <c:axId val="161865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8653344"/>
        <c:crosses val="autoZero"/>
        <c:auto val="1"/>
        <c:lblAlgn val="ctr"/>
        <c:lblOffset val="100"/>
        <c:noMultiLvlLbl val="0"/>
      </c:catAx>
      <c:valAx>
        <c:axId val="16186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865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Planilha1!$C$5</c:f>
              <c:strCache>
                <c:ptCount val="1"/>
                <c:pt idx="0">
                  <c:v>AJUSTADA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Planilha1!$A$6:$B$17</c15:sqref>
                  </c15:fullRef>
                  <c15:levelRef>
                    <c15:sqref>Planilha1!$A$6:$A$17</c15:sqref>
                  </c15:levelRef>
                </c:ext>
              </c:extLst>
              <c:f>Planilha1!$A$6:$A$17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Planilha1!$C$6:$C$17</c:f>
              <c:numCache>
                <c:formatCode>0.00</c:formatCode>
                <c:ptCount val="12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32</c:v>
                </c:pt>
                <c:pt idx="4">
                  <c:v>37</c:v>
                </c:pt>
                <c:pt idx="5">
                  <c:v>42</c:v>
                </c:pt>
                <c:pt idx="6">
                  <c:v>47</c:v>
                </c:pt>
                <c:pt idx="7">
                  <c:v>52</c:v>
                </c:pt>
                <c:pt idx="8">
                  <c:v>57</c:v>
                </c:pt>
                <c:pt idx="9">
                  <c:v>62</c:v>
                </c:pt>
                <c:pt idx="10">
                  <c:v>67</c:v>
                </c:pt>
                <c:pt idx="1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FB-4A3A-813E-767CF2A2F049}"/>
            </c:ext>
          </c:extLst>
        </c:ser>
        <c:ser>
          <c:idx val="1"/>
          <c:order val="1"/>
          <c:tx>
            <c:strRef>
              <c:f>Planilha1!$D$5</c:f>
              <c:strCache>
                <c:ptCount val="1"/>
                <c:pt idx="0">
                  <c:v>AJUSTADA_ALT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Planilha1!$A$6:$B$17</c15:sqref>
                  </c15:fullRef>
                  <c15:levelRef>
                    <c15:sqref>Planilha1!$A$6:$A$17</c15:sqref>
                  </c15:levelRef>
                </c:ext>
              </c:extLst>
              <c:f>Planilha1!$A$6:$A$17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Planilha1!$D$6:$D$17</c:f>
              <c:numCache>
                <c:formatCode>0</c:formatCode>
                <c:ptCount val="12"/>
                <c:pt idx="0">
                  <c:v>10</c:v>
                </c:pt>
                <c:pt idx="1">
                  <c:v>15.636363636363637</c:v>
                </c:pt>
                <c:pt idx="2">
                  <c:v>21.272727272727273</c:v>
                </c:pt>
                <c:pt idx="3">
                  <c:v>26.90909090909091</c:v>
                </c:pt>
                <c:pt idx="4">
                  <c:v>32.545454545454547</c:v>
                </c:pt>
                <c:pt idx="5">
                  <c:v>38.181818181818187</c:v>
                </c:pt>
                <c:pt idx="6">
                  <c:v>43.818181818181813</c:v>
                </c:pt>
                <c:pt idx="7">
                  <c:v>49.454545454545453</c:v>
                </c:pt>
                <c:pt idx="8">
                  <c:v>55.090909090909093</c:v>
                </c:pt>
                <c:pt idx="9">
                  <c:v>60.727272727272734</c:v>
                </c:pt>
                <c:pt idx="10">
                  <c:v>66.36363636363636</c:v>
                </c:pt>
                <c:pt idx="1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FB-4A3A-813E-767CF2A2F049}"/>
            </c:ext>
          </c:extLst>
        </c:ser>
        <c:ser>
          <c:idx val="2"/>
          <c:order val="2"/>
          <c:tx>
            <c:strRef>
              <c:f>Planilha1!$E$5</c:f>
              <c:strCache>
                <c:ptCount val="1"/>
                <c:pt idx="0">
                  <c:v>AJUSTADA_MULT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Planilha1!$A$6:$B$17</c15:sqref>
                  </c15:fullRef>
                  <c15:levelRef>
                    <c15:sqref>Planilha1!$A$6:$A$17</c15:sqref>
                  </c15:levelRef>
                </c:ext>
              </c:extLst>
              <c:f>Planilha1!$A$6:$A$17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Planilha1!$E$6:$E$17</c:f>
              <c:numCache>
                <c:formatCode>0.0</c:formatCode>
                <c:ptCount val="12"/>
                <c:pt idx="0">
                  <c:v>15.636363636363637</c:v>
                </c:pt>
                <c:pt idx="1">
                  <c:v>26.90909090909091</c:v>
                </c:pt>
                <c:pt idx="2">
                  <c:v>38.181818181818187</c:v>
                </c:pt>
                <c:pt idx="3">
                  <c:v>49.454545454545453</c:v>
                </c:pt>
                <c:pt idx="4">
                  <c:v>60.727272727272734</c:v>
                </c:pt>
                <c:pt idx="5">
                  <c:v>72</c:v>
                </c:pt>
                <c:pt idx="6">
                  <c:v>83.272727272727266</c:v>
                </c:pt>
                <c:pt idx="7">
                  <c:v>94.545454545454547</c:v>
                </c:pt>
                <c:pt idx="8">
                  <c:v>105.81818181818183</c:v>
                </c:pt>
                <c:pt idx="9">
                  <c:v>117.09090909090909</c:v>
                </c:pt>
                <c:pt idx="10">
                  <c:v>128.36363636363637</c:v>
                </c:pt>
                <c:pt idx="11">
                  <c:v>139.63636363636365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FB-4A3A-813E-767CF2A2F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5167"/>
        <c:axId val="46546607"/>
      </c:lineChart>
      <c:catAx>
        <c:axId val="4654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546607"/>
        <c:crosses val="autoZero"/>
        <c:auto val="1"/>
        <c:lblAlgn val="ctr"/>
        <c:lblOffset val="100"/>
        <c:noMultiLvlLbl val="0"/>
      </c:catAx>
      <c:valAx>
        <c:axId val="465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54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102869</xdr:colOff>
      <xdr:row>1</xdr:row>
      <xdr:rowOff>54293</xdr:rowOff>
    </xdr:from>
    <xdr:to>
      <xdr:col>24</xdr:col>
      <xdr:colOff>293369</xdr:colOff>
      <xdr:row>19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0AC541-4B0E-8214-77F7-E59EF8189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143443</xdr:colOff>
      <xdr:row>20</xdr:row>
      <xdr:rowOff>73342</xdr:rowOff>
    </xdr:from>
    <xdr:to>
      <xdr:col>24</xdr:col>
      <xdr:colOff>232409</xdr:colOff>
      <xdr:row>39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CEC35B9-45A9-AB0E-5026-3515B8228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D933-2357-414D-BE65-D23FB619703D}">
  <dimension ref="A1:G27"/>
  <sheetViews>
    <sheetView showGridLines="0" tabSelected="1" workbookViewId="0">
      <selection activeCell="D23" sqref="D23"/>
    </sheetView>
  </sheetViews>
  <sheetFormatPr defaultRowHeight="14.4" x14ac:dyDescent="0.3"/>
  <cols>
    <col min="1" max="1" width="14.109375" customWidth="1"/>
    <col min="2" max="2" width="11" customWidth="1"/>
    <col min="3" max="5" width="18.109375" customWidth="1"/>
    <col min="6" max="6" width="10.21875" bestFit="1" customWidth="1"/>
    <col min="7" max="7" width="11.6640625" customWidth="1"/>
    <col min="8" max="8" width="10.33203125" bestFit="1" customWidth="1"/>
    <col min="9" max="9" width="9.33203125" bestFit="1" customWidth="1"/>
  </cols>
  <sheetData>
    <row r="1" spans="1:7" ht="15" thickBot="1" x14ac:dyDescent="0.35"/>
    <row r="2" spans="1:7" x14ac:dyDescent="0.3">
      <c r="B2" s="16" t="s">
        <v>18</v>
      </c>
      <c r="C2" s="17" t="s">
        <v>12</v>
      </c>
      <c r="D2" s="17" t="s">
        <v>13</v>
      </c>
      <c r="E2" s="18" t="s">
        <v>15</v>
      </c>
    </row>
    <row r="3" spans="1:7" ht="15" thickBot="1" x14ac:dyDescent="0.35">
      <c r="B3" s="3">
        <f>(C17-C6)/(B17-B6)</f>
        <v>5.6363636363636367</v>
      </c>
      <c r="C3" s="4">
        <f>C6-D3</f>
        <v>4.3636363636363633</v>
      </c>
      <c r="D3" s="5">
        <f>B6*$B$3</f>
        <v>5.6363636363636367</v>
      </c>
      <c r="E3" s="20">
        <v>2</v>
      </c>
    </row>
    <row r="5" spans="1:7" x14ac:dyDescent="0.3">
      <c r="A5" s="9" t="s">
        <v>16</v>
      </c>
      <c r="B5" s="10" t="s">
        <v>17</v>
      </c>
      <c r="C5" s="11" t="s">
        <v>19</v>
      </c>
      <c r="D5" s="11" t="s">
        <v>20</v>
      </c>
      <c r="E5" s="11" t="s">
        <v>21</v>
      </c>
      <c r="F5" s="12" t="s">
        <v>14</v>
      </c>
      <c r="G5" s="12" t="s">
        <v>14</v>
      </c>
    </row>
    <row r="6" spans="1:7" x14ac:dyDescent="0.3">
      <c r="A6" s="6" t="s">
        <v>0</v>
      </c>
      <c r="B6" s="7">
        <v>1</v>
      </c>
      <c r="C6" s="13">
        <v>10</v>
      </c>
      <c r="D6" s="19">
        <f>B6*$B$3+$C$3</f>
        <v>10</v>
      </c>
      <c r="E6" s="8">
        <f t="shared" ref="E6:E12" si="0">B6*$B$3*$E$3+$C$3</f>
        <v>15.636363636363637</v>
      </c>
      <c r="F6" s="8">
        <f t="shared" ref="F6:F17" si="1">C6-D6</f>
        <v>0</v>
      </c>
      <c r="G6" s="8">
        <f t="shared" ref="G6:G11" si="2">C6-E6</f>
        <v>-5.6363636363636367</v>
      </c>
    </row>
    <row r="7" spans="1:7" x14ac:dyDescent="0.3">
      <c r="A7" s="6" t="s">
        <v>1</v>
      </c>
      <c r="B7" s="7">
        <f>B6+1</f>
        <v>2</v>
      </c>
      <c r="C7" s="13">
        <v>15</v>
      </c>
      <c r="D7" s="19">
        <f>B7*$B$3+$C$3</f>
        <v>15.636363636363637</v>
      </c>
      <c r="E7" s="8">
        <f t="shared" si="0"/>
        <v>26.90909090909091</v>
      </c>
      <c r="F7" s="8">
        <f t="shared" si="1"/>
        <v>-0.63636363636363669</v>
      </c>
      <c r="G7" s="8">
        <f t="shared" si="2"/>
        <v>-11.90909090909091</v>
      </c>
    </row>
    <row r="8" spans="1:7" x14ac:dyDescent="0.3">
      <c r="A8" s="6" t="s">
        <v>2</v>
      </c>
      <c r="B8" s="7">
        <f t="shared" ref="B8:B17" si="3">B7+1</f>
        <v>3</v>
      </c>
      <c r="C8" s="13">
        <v>20</v>
      </c>
      <c r="D8" s="19">
        <f>B8*$B$3+$C$3</f>
        <v>21.272727272727273</v>
      </c>
      <c r="E8" s="8">
        <f t="shared" si="0"/>
        <v>38.181818181818187</v>
      </c>
      <c r="F8" s="8">
        <f t="shared" si="1"/>
        <v>-1.2727272727272734</v>
      </c>
      <c r="G8" s="8">
        <f t="shared" si="2"/>
        <v>-18.181818181818187</v>
      </c>
    </row>
    <row r="9" spans="1:7" x14ac:dyDescent="0.3">
      <c r="A9" s="6" t="s">
        <v>3</v>
      </c>
      <c r="B9" s="7">
        <f t="shared" si="3"/>
        <v>4</v>
      </c>
      <c r="C9" s="13">
        <v>32</v>
      </c>
      <c r="D9" s="19">
        <f>B9*$B$3+$C$3</f>
        <v>26.90909090909091</v>
      </c>
      <c r="E9" s="8">
        <f t="shared" si="0"/>
        <v>49.454545454545453</v>
      </c>
      <c r="F9" s="8">
        <f t="shared" si="1"/>
        <v>5.0909090909090899</v>
      </c>
      <c r="G9" s="8">
        <f t="shared" si="2"/>
        <v>-17.454545454545453</v>
      </c>
    </row>
    <row r="10" spans="1:7" x14ac:dyDescent="0.3">
      <c r="A10" s="6" t="s">
        <v>4</v>
      </c>
      <c r="B10" s="7">
        <f t="shared" si="3"/>
        <v>5</v>
      </c>
      <c r="C10" s="13">
        <v>37</v>
      </c>
      <c r="D10" s="19">
        <f>B10*$B$3+$C$3</f>
        <v>32.545454545454547</v>
      </c>
      <c r="E10" s="8">
        <f t="shared" si="0"/>
        <v>60.727272727272734</v>
      </c>
      <c r="F10" s="8">
        <f t="shared" si="1"/>
        <v>4.4545454545454533</v>
      </c>
      <c r="G10" s="8">
        <f t="shared" si="2"/>
        <v>-23.727272727272734</v>
      </c>
    </row>
    <row r="11" spans="1:7" x14ac:dyDescent="0.3">
      <c r="A11" s="6" t="s">
        <v>5</v>
      </c>
      <c r="B11" s="7">
        <f t="shared" si="3"/>
        <v>6</v>
      </c>
      <c r="C11" s="13">
        <v>42</v>
      </c>
      <c r="D11" s="19">
        <f>B11*$B$3+$C$3</f>
        <v>38.181818181818187</v>
      </c>
      <c r="E11" s="8">
        <f t="shared" si="0"/>
        <v>72</v>
      </c>
      <c r="F11" s="8">
        <f t="shared" si="1"/>
        <v>3.818181818181813</v>
      </c>
      <c r="G11" s="8">
        <f t="shared" si="2"/>
        <v>-30</v>
      </c>
    </row>
    <row r="12" spans="1:7" x14ac:dyDescent="0.3">
      <c r="A12" s="6" t="s">
        <v>6</v>
      </c>
      <c r="B12" s="7">
        <f t="shared" si="3"/>
        <v>7</v>
      </c>
      <c r="C12" s="13">
        <v>47</v>
      </c>
      <c r="D12" s="19">
        <f>B12*$B$3+$C$3</f>
        <v>43.818181818181813</v>
      </c>
      <c r="E12" s="8">
        <f t="shared" si="0"/>
        <v>83.272727272727266</v>
      </c>
      <c r="F12" s="8">
        <f t="shared" si="1"/>
        <v>3.181818181818187</v>
      </c>
      <c r="G12" s="8">
        <f t="shared" ref="G12" si="4">C12-E12</f>
        <v>-36.272727272727266</v>
      </c>
    </row>
    <row r="13" spans="1:7" x14ac:dyDescent="0.3">
      <c r="A13" s="6" t="s">
        <v>7</v>
      </c>
      <c r="B13" s="7">
        <f t="shared" si="3"/>
        <v>8</v>
      </c>
      <c r="C13" s="13">
        <v>52</v>
      </c>
      <c r="D13" s="19">
        <f>B13*$B$3+$C$3</f>
        <v>49.454545454545453</v>
      </c>
      <c r="E13" s="8">
        <f t="shared" ref="E13:E17" si="5">B13*$B$3*$E$3+$C$3</f>
        <v>94.545454545454547</v>
      </c>
      <c r="F13" s="8">
        <f t="shared" si="1"/>
        <v>2.5454545454545467</v>
      </c>
      <c r="G13" s="8">
        <f>C13-E13</f>
        <v>-42.545454545454547</v>
      </c>
    </row>
    <row r="14" spans="1:7" x14ac:dyDescent="0.3">
      <c r="A14" s="6" t="s">
        <v>8</v>
      </c>
      <c r="B14" s="7">
        <f t="shared" si="3"/>
        <v>9</v>
      </c>
      <c r="C14" s="13">
        <v>57</v>
      </c>
      <c r="D14" s="19">
        <f>B14*$B$3+$C$3</f>
        <v>55.090909090909093</v>
      </c>
      <c r="E14" s="8">
        <f t="shared" si="5"/>
        <v>105.81818181818183</v>
      </c>
      <c r="F14" s="8">
        <f t="shared" si="1"/>
        <v>1.9090909090909065</v>
      </c>
      <c r="G14" s="8">
        <f>C14-E14</f>
        <v>-48.818181818181827</v>
      </c>
    </row>
    <row r="15" spans="1:7" x14ac:dyDescent="0.3">
      <c r="A15" s="6" t="s">
        <v>9</v>
      </c>
      <c r="B15" s="7">
        <f t="shared" si="3"/>
        <v>10</v>
      </c>
      <c r="C15" s="13">
        <v>62</v>
      </c>
      <c r="D15" s="19">
        <f>B15*$B$3+$C$3</f>
        <v>60.727272727272734</v>
      </c>
      <c r="E15" s="8">
        <f t="shared" si="5"/>
        <v>117.09090909090909</v>
      </c>
      <c r="F15" s="8">
        <f t="shared" si="1"/>
        <v>1.2727272727272663</v>
      </c>
      <c r="G15" s="8">
        <f>C15-E15</f>
        <v>-55.090909090909093</v>
      </c>
    </row>
    <row r="16" spans="1:7" x14ac:dyDescent="0.3">
      <c r="A16" s="6" t="s">
        <v>10</v>
      </c>
      <c r="B16" s="7">
        <f t="shared" si="3"/>
        <v>11</v>
      </c>
      <c r="C16" s="13">
        <v>67</v>
      </c>
      <c r="D16" s="19">
        <f>B16*$B$3+$C$3</f>
        <v>66.36363636363636</v>
      </c>
      <c r="E16" s="8">
        <f t="shared" si="5"/>
        <v>128.36363636363637</v>
      </c>
      <c r="F16" s="8">
        <f t="shared" si="1"/>
        <v>0.63636363636364024</v>
      </c>
      <c r="G16" s="8">
        <f>C16-E16</f>
        <v>-61.363636363636374</v>
      </c>
    </row>
    <row r="17" spans="1:7" x14ac:dyDescent="0.3">
      <c r="A17" s="6" t="s">
        <v>11</v>
      </c>
      <c r="B17" s="7">
        <f t="shared" si="3"/>
        <v>12</v>
      </c>
      <c r="C17" s="13">
        <v>72</v>
      </c>
      <c r="D17" s="19">
        <f>B17*$B$3+$C$3</f>
        <v>72</v>
      </c>
      <c r="E17" s="8">
        <f t="shared" si="5"/>
        <v>139.63636363636365</v>
      </c>
      <c r="F17" s="8">
        <f t="shared" si="1"/>
        <v>0</v>
      </c>
      <c r="G17" s="8">
        <f>C17-E17</f>
        <v>-67.636363636363654</v>
      </c>
    </row>
    <row r="19" spans="1:7" x14ac:dyDescent="0.3">
      <c r="B19" s="14"/>
      <c r="C19" s="15"/>
    </row>
    <row r="26" spans="1:7" ht="12.6" customHeight="1" x14ac:dyDescent="0.3">
      <c r="B26" s="1"/>
      <c r="C26" s="1"/>
      <c r="D26" s="2"/>
      <c r="E26" s="2"/>
    </row>
    <row r="27" spans="1:7" x14ac:dyDescent="0.3">
      <c r="B27" s="1"/>
      <c r="C27" s="1"/>
    </row>
  </sheetData>
  <phoneticPr fontId="3" type="noConversion"/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  <drawing r:id="rId1"/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Fernandes de Oliveira Junior</dc:creator>
  <cp:lastModifiedBy>Francisco Fernandes de Oliveira Junior</cp:lastModifiedBy>
  <dcterms:created xsi:type="dcterms:W3CDTF">2026-02-24T21:04:39Z</dcterms:created>
  <dcterms:modified xsi:type="dcterms:W3CDTF">2026-02-26T20:26:29Z</dcterms:modified>
</cp:coreProperties>
</file>